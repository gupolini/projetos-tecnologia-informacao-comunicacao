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ptic\3º Bimestre\"/>
    </mc:Choice>
  </mc:AlternateContent>
  <bookViews>
    <workbookView xWindow="-120" yWindow="-120" windowWidth="24240" windowHeight="13140" activeTab="2"/>
  </bookViews>
  <sheets>
    <sheet name="Execício 1" sheetId="3" r:id="rId1"/>
    <sheet name="Exercício 2" sheetId="2" r:id="rId2"/>
    <sheet name="Exercício 3" sheetId="1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6" i="1" l="1"/>
  <c r="B16" i="1"/>
  <c r="C16" i="1"/>
  <c r="D16" i="1"/>
  <c r="F4" i="1"/>
  <c r="F17" i="1"/>
  <c r="C14" i="1"/>
  <c r="C15" i="1" s="1"/>
  <c r="D14" i="1"/>
  <c r="D15" i="1" s="1"/>
  <c r="E14" i="1"/>
  <c r="E15" i="1" s="1"/>
  <c r="B14" i="1"/>
  <c r="B15" i="1" s="1"/>
  <c r="F8" i="1"/>
  <c r="F9" i="1"/>
  <c r="F10" i="1"/>
  <c r="F11" i="1"/>
  <c r="F12" i="1"/>
  <c r="F7" i="1"/>
  <c r="H5" i="2"/>
  <c r="H6" i="2"/>
  <c r="H7" i="2"/>
  <c r="H8" i="2"/>
  <c r="H9" i="2"/>
  <c r="H10" i="2"/>
  <c r="H11" i="2"/>
  <c r="H4" i="2"/>
  <c r="G5" i="2"/>
  <c r="G6" i="2"/>
  <c r="G7" i="2"/>
  <c r="G8" i="2"/>
  <c r="G9" i="2"/>
  <c r="G10" i="2"/>
  <c r="G11" i="2"/>
  <c r="G4" i="2"/>
  <c r="F5" i="2"/>
  <c r="F6" i="2"/>
  <c r="F7" i="2"/>
  <c r="F8" i="2"/>
  <c r="F9" i="2"/>
  <c r="F10" i="2"/>
  <c r="F11" i="2"/>
  <c r="F4" i="2"/>
  <c r="D19" i="3"/>
  <c r="E19" i="3"/>
  <c r="C19" i="3"/>
  <c r="D10" i="3"/>
  <c r="E10" i="3"/>
  <c r="C10" i="3"/>
  <c r="I16" i="3"/>
  <c r="I14" i="3"/>
  <c r="I15" i="3"/>
  <c r="I17" i="3"/>
  <c r="I18" i="3"/>
  <c r="I5" i="3"/>
  <c r="I6" i="3"/>
  <c r="I7" i="3"/>
  <c r="I8" i="3"/>
  <c r="I9" i="3"/>
  <c r="I4" i="3"/>
  <c r="I13" i="3"/>
  <c r="H16" i="3"/>
  <c r="H14" i="3"/>
  <c r="H15" i="3"/>
  <c r="H17" i="3"/>
  <c r="H18" i="3"/>
  <c r="H13" i="3"/>
  <c r="H5" i="3"/>
  <c r="H6" i="3"/>
  <c r="H7" i="3"/>
  <c r="H8" i="3"/>
  <c r="H9" i="3"/>
  <c r="H4" i="3"/>
  <c r="G14" i="3"/>
  <c r="G15" i="3"/>
  <c r="G16" i="3"/>
  <c r="G17" i="3"/>
  <c r="G18" i="3"/>
  <c r="G13" i="3"/>
  <c r="G7" i="3"/>
  <c r="G5" i="3"/>
  <c r="G6" i="3"/>
  <c r="G8" i="3"/>
  <c r="G9" i="3"/>
  <c r="G4" i="3"/>
  <c r="F15" i="3"/>
  <c r="F14" i="3"/>
  <c r="F16" i="3"/>
  <c r="F17" i="3"/>
  <c r="F18" i="3"/>
  <c r="F13" i="3"/>
  <c r="F8" i="3"/>
  <c r="F7" i="3"/>
  <c r="F9" i="3"/>
  <c r="F6" i="3"/>
  <c r="F5" i="3"/>
  <c r="F4" i="3"/>
  <c r="M11" i="3" l="1"/>
  <c r="L11" i="3"/>
</calcChain>
</file>

<file path=xl/sharedStrings.xml><?xml version="1.0" encoding="utf-8"?>
<sst xmlns="http://schemas.openxmlformats.org/spreadsheetml/2006/main" count="112" uniqueCount="86">
  <si>
    <t xml:space="preserve">Receita bruta </t>
  </si>
  <si>
    <t xml:space="preserve">Jan-Mar </t>
  </si>
  <si>
    <t xml:space="preserve">Abr-Jun </t>
  </si>
  <si>
    <t xml:space="preserve">Jul-Set </t>
  </si>
  <si>
    <t xml:space="preserve">Out-Dez </t>
  </si>
  <si>
    <t xml:space="preserve">Total do Ano </t>
  </si>
  <si>
    <t xml:space="preserve">Despesa Líquida </t>
  </si>
  <si>
    <t xml:space="preserve">Salários </t>
  </si>
  <si>
    <t xml:space="preserve">Juros </t>
  </si>
  <si>
    <t xml:space="preserve">Aluguel </t>
  </si>
  <si>
    <t xml:space="preserve">Propaganda </t>
  </si>
  <si>
    <t xml:space="preserve">Suprimentos </t>
  </si>
  <si>
    <t xml:space="preserve">Diversos </t>
  </si>
  <si>
    <t xml:space="preserve">Total do Trim. </t>
  </si>
  <si>
    <t xml:space="preserve">Receita líquida </t>
  </si>
  <si>
    <t xml:space="preserve">Situação </t>
  </si>
  <si>
    <t>Valor Acumulado do ano de despesas</t>
  </si>
  <si>
    <t xml:space="preserve">Orientações: </t>
  </si>
  <si>
    <t>Total do Ano Receita Bruta: Soma das receitas anuais.</t>
  </si>
  <si>
    <t>Total do Ano Despesa Líquida: Soma das despesas anuais.</t>
  </si>
  <si>
    <t>Total do Trimestre: Soma das despesas trimestrais.</t>
  </si>
  <si>
    <t>Receita Líquida: Receita Bruta menos Total do Trimestre.</t>
  </si>
  <si>
    <t>Valor Acumulado do ano de despesas: Soma do Total do Ano de Despesas</t>
  </si>
  <si>
    <t>Situação: Se Receita Líquida for menor que R$ 1.000,00, "Prejuízo Total";</t>
  </si>
  <si>
    <t>Se Receita Líquida for menor que R$ 5.000,00, "Lucro Médio";</t>
  </si>
  <si>
    <t>Se Receita Líquida for maior que R$ 5.000,00, "Lucro Total'.</t>
  </si>
  <si>
    <t>Projeção da Empresa Nacional S/A - 2024</t>
  </si>
  <si>
    <t>Empresa Nacional S/A</t>
  </si>
  <si>
    <t xml:space="preserve">Nº </t>
  </si>
  <si>
    <t xml:space="preserve">NOME </t>
  </si>
  <si>
    <t xml:space="preserve">Salário Bruto </t>
  </si>
  <si>
    <t xml:space="preserve">INSS </t>
  </si>
  <si>
    <t xml:space="preserve">Gratificação </t>
  </si>
  <si>
    <t xml:space="preserve">INSS R$ </t>
  </si>
  <si>
    <t xml:space="preserve">Gratificação R$ </t>
  </si>
  <si>
    <t xml:space="preserve">Salário Líquido </t>
  </si>
  <si>
    <t xml:space="preserve">Eduardo </t>
  </si>
  <si>
    <t xml:space="preserve">Maria </t>
  </si>
  <si>
    <t xml:space="preserve">Helena </t>
  </si>
  <si>
    <t xml:space="preserve">Gabriela </t>
  </si>
  <si>
    <t xml:space="preserve">Edson </t>
  </si>
  <si>
    <t xml:space="preserve">Elisangela </t>
  </si>
  <si>
    <t xml:space="preserve">Regina </t>
  </si>
  <si>
    <t xml:space="preserve">Paulo </t>
  </si>
  <si>
    <t>INSS R$: multiplicar Salário Bruto por INSS.</t>
  </si>
  <si>
    <t>Gratificação R$: multiplicar Salário Bruto por Gratificação.</t>
  </si>
  <si>
    <t>Salário Líquido: Salário Bruto mais Gratificação R$ menos INSS R$.</t>
  </si>
  <si>
    <t>Formatar os números para que eles apareçam de acordo com a planilha dada.</t>
  </si>
  <si>
    <t xml:space="preserve">Código </t>
  </si>
  <si>
    <t xml:space="preserve">Produto </t>
  </si>
  <si>
    <t>Jan</t>
  </si>
  <si>
    <t>Fev</t>
  </si>
  <si>
    <t>Mar</t>
  </si>
  <si>
    <t>Total 1º Trim.</t>
  </si>
  <si>
    <t>Máximo</t>
  </si>
  <si>
    <t>Mínimo</t>
  </si>
  <si>
    <t>Média</t>
  </si>
  <si>
    <t xml:space="preserve">Porca </t>
  </si>
  <si>
    <t xml:space="preserve">Parafuso </t>
  </si>
  <si>
    <t xml:space="preserve">Arruela </t>
  </si>
  <si>
    <t xml:space="preserve">Prego </t>
  </si>
  <si>
    <t xml:space="preserve">Alicate </t>
  </si>
  <si>
    <t xml:space="preserve">Martelo </t>
  </si>
  <si>
    <t>Totais</t>
  </si>
  <si>
    <t>Abr</t>
  </si>
  <si>
    <t>Mai</t>
  </si>
  <si>
    <t>Jun</t>
  </si>
  <si>
    <t>Total 2º Trim.</t>
  </si>
  <si>
    <t>Total do Semestre</t>
  </si>
  <si>
    <t>1ª Tabela:</t>
  </si>
  <si>
    <t>Total 1º Trimestre: soma das vendas dos meses de Jan / Fev / Mar.</t>
  </si>
  <si>
    <t>Máximo: calcular o maior valor entre os meses de Jan / Fev / Mar.</t>
  </si>
  <si>
    <t>Mínimo: calcular o menor valor entre os meses de Jan / Fev / Mar.</t>
  </si>
  <si>
    <t>Média: calcular a média dos valores entre os meses de Jan / Fev / Mar.</t>
  </si>
  <si>
    <t>2ª Tabela:</t>
  </si>
  <si>
    <t>Total 2º Trimestre: soma das vendas dos meses de Abr / Mai / Jun.</t>
  </si>
  <si>
    <t>Máximo: calcular o maior valor entre os meses de Abr / Mai / Jun.</t>
  </si>
  <si>
    <t>Mínimo: calcular o menor valor entre os meses de Abr / Mai / Jun.</t>
  </si>
  <si>
    <t>Média: calcular a média dos valores entre os meses de Abr / Mai / Jun.</t>
  </si>
  <si>
    <t>Totais: soma das colunas de cada mês (1ª e 2ª tabela).</t>
  </si>
  <si>
    <t>Total do Semestre: soma dos totais de cada trimestre.</t>
  </si>
  <si>
    <t>Kauã dos Santos Turato</t>
  </si>
  <si>
    <t>1ºC1</t>
  </si>
  <si>
    <t>Jan / Fev / Mar</t>
  </si>
  <si>
    <t>Abr / Mai / Jun</t>
  </si>
  <si>
    <t>Gustavo Codarim Polini 1ºC1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</si>
</sst>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%"/>
    <numFmt numFmtId="165" formatCode="_-[$R$-416]\ * #,##0.00_-;\-[$R$-416]\ * #,##0.00_-;_-[$R$-416]\ * &quot;-&quot;??_-;_-@_-"/>
  </numFmts>
  <fonts count="1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10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4" fontId="3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4" fontId="3" fillId="0" borderId="8" xfId="0" applyNumberFormat="1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7" fillId="0" borderId="0" xfId="0" applyFont="1"/>
    <xf numFmtId="0" fontId="6" fillId="0" borderId="0" xfId="0" applyFont="1"/>
    <xf numFmtId="0" fontId="6" fillId="0" borderId="0" xfId="0" quotePrefix="1" applyFont="1"/>
    <xf numFmtId="0" fontId="4" fillId="0" borderId="0" xfId="0" applyFont="1" applyBorder="1" applyAlignment="1">
      <alignment vertical="top" wrapText="1"/>
    </xf>
    <xf numFmtId="0" fontId="5" fillId="0" borderId="0" xfId="0" applyFont="1" applyBorder="1" applyAlignment="1">
      <alignment horizontal="center"/>
    </xf>
    <xf numFmtId="0" fontId="3" fillId="0" borderId="17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8" fontId="3" fillId="0" borderId="18" xfId="0" applyNumberFormat="1" applyFont="1" applyBorder="1" applyAlignment="1">
      <alignment horizontal="center" vertical="top" wrapText="1"/>
    </xf>
    <xf numFmtId="10" fontId="3" fillId="0" borderId="18" xfId="0" applyNumberFormat="1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8" fontId="3" fillId="0" borderId="1" xfId="0" applyNumberFormat="1" applyFont="1" applyBorder="1" applyAlignment="1">
      <alignment horizontal="center" vertical="top" wrapText="1"/>
    </xf>
    <xf numFmtId="10" fontId="3" fillId="0" borderId="1" xfId="0" applyNumberFormat="1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8" fontId="3" fillId="0" borderId="8" xfId="0" applyNumberFormat="1" applyFont="1" applyBorder="1" applyAlignment="1">
      <alignment horizontal="center" vertical="top" wrapText="1"/>
    </xf>
    <xf numFmtId="10" fontId="3" fillId="0" borderId="8" xfId="0" applyNumberFormat="1" applyFont="1" applyBorder="1" applyAlignment="1">
      <alignment horizontal="center" vertical="top" wrapText="1"/>
    </xf>
    <xf numFmtId="164" fontId="3" fillId="0" borderId="18" xfId="0" applyNumberFormat="1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wrapText="1"/>
    </xf>
    <xf numFmtId="164" fontId="3" fillId="0" borderId="8" xfId="0" applyNumberFormat="1" applyFont="1" applyBorder="1" applyAlignment="1">
      <alignment horizontal="center" vertical="top" wrapText="1"/>
    </xf>
    <xf numFmtId="0" fontId="3" fillId="0" borderId="0" xfId="0" applyFont="1" applyBorder="1" applyAlignment="1">
      <alignment vertical="top" wrapText="1"/>
    </xf>
    <xf numFmtId="4" fontId="3" fillId="0" borderId="0" xfId="0" applyNumberFormat="1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6" fillId="0" borderId="0" xfId="0" applyFont="1" applyBorder="1"/>
    <xf numFmtId="0" fontId="6" fillId="0" borderId="0" xfId="0" applyFont="1" applyBorder="1" applyAlignment="1"/>
    <xf numFmtId="0" fontId="4" fillId="0" borderId="5" xfId="0" applyFont="1" applyBorder="1" applyAlignment="1">
      <alignment horizontal="center" vertical="top" wrapText="1"/>
    </xf>
    <xf numFmtId="4" fontId="3" fillId="0" borderId="1" xfId="0" applyNumberFormat="1" applyFont="1" applyBorder="1" applyAlignment="1">
      <alignment horizontal="center" vertical="top" wrapText="1"/>
    </xf>
    <xf numFmtId="0" fontId="4" fillId="0" borderId="20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4" fontId="3" fillId="0" borderId="13" xfId="0" applyNumberFormat="1" applyFont="1" applyBorder="1" applyAlignment="1">
      <alignment horizontal="center" vertical="top" wrapText="1"/>
    </xf>
    <xf numFmtId="4" fontId="3" fillId="0" borderId="15" xfId="0" applyNumberFormat="1" applyFont="1" applyBorder="1" applyAlignment="1">
      <alignment horizontal="center" vertical="top" wrapText="1"/>
    </xf>
    <xf numFmtId="4" fontId="6" fillId="0" borderId="1" xfId="0" applyNumberFormat="1" applyFont="1" applyBorder="1" applyAlignment="1">
      <alignment horizontal="center"/>
    </xf>
    <xf numFmtId="4" fontId="6" fillId="0" borderId="6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8" fontId="3" fillId="0" borderId="19" xfId="0" applyNumberFormat="1" applyFont="1" applyBorder="1" applyAlignment="1">
      <alignment horizontal="center" vertical="top" wrapText="1"/>
    </xf>
    <xf numFmtId="165" fontId="3" fillId="0" borderId="8" xfId="0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vertical="center" wrapText="1"/>
    </xf>
    <xf numFmtId="4" fontId="3" fillId="0" borderId="0" xfId="0" applyNumberFormat="1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65" fontId="3" fillId="0" borderId="8" xfId="1" applyNumberFormat="1" applyFont="1" applyBorder="1" applyAlignment="1">
      <alignment horizontal="center" vertical="center" wrapText="1"/>
    </xf>
    <xf numFmtId="165" fontId="3" fillId="0" borderId="9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5" fontId="3" fillId="0" borderId="6" xfId="0" applyNumberFormat="1" applyFont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 wrapText="1"/>
    </xf>
    <xf numFmtId="165" fontId="6" fillId="0" borderId="12" xfId="0" applyNumberFormat="1" applyFont="1" applyBorder="1" applyAlignment="1">
      <alignment horizontal="center" vertical="center"/>
    </xf>
    <xf numFmtId="0" fontId="9" fillId="0" borderId="0" xfId="0" applyFont="1"/>
    <xf numFmtId="0" fontId="5" fillId="2" borderId="0" xfId="0" applyFont="1" applyFill="1" applyBorder="1"/>
    <xf numFmtId="4" fontId="4" fillId="0" borderId="0" xfId="0" applyNumberFormat="1" applyFont="1" applyBorder="1" applyAlignment="1">
      <alignment vertical="center" wrapText="1"/>
    </xf>
    <xf numFmtId="0" fontId="5" fillId="0" borderId="0" xfId="0" applyFont="1" applyFill="1" applyBorder="1"/>
    <xf numFmtId="4" fontId="6" fillId="0" borderId="8" xfId="0" applyNumberFormat="1" applyFont="1" applyBorder="1" applyAlignment="1">
      <alignment horizontal="center" vertical="center"/>
    </xf>
    <xf numFmtId="0" fontId="5" fillId="3" borderId="2" xfId="0" applyFont="1" applyFill="1" applyBorder="1"/>
    <xf numFmtId="0" fontId="5" fillId="3" borderId="3" xfId="0" applyFont="1" applyFill="1" applyBorder="1"/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/>
    <xf numFmtId="0" fontId="5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top" wrapText="1"/>
    </xf>
    <xf numFmtId="4" fontId="4" fillId="3" borderId="3" xfId="0" applyNumberFormat="1" applyFont="1" applyFill="1" applyBorder="1" applyAlignment="1">
      <alignment horizontal="center" vertical="top" wrapText="1"/>
    </xf>
    <xf numFmtId="4" fontId="4" fillId="3" borderId="3" xfId="0" applyNumberFormat="1" applyFont="1" applyFill="1" applyBorder="1" applyAlignment="1">
      <alignment vertical="top" wrapText="1"/>
    </xf>
    <xf numFmtId="0" fontId="4" fillId="4" borderId="3" xfId="0" applyFont="1" applyFill="1" applyBorder="1" applyAlignment="1">
      <alignment horizontal="center" vertical="center"/>
    </xf>
    <xf numFmtId="0" fontId="5" fillId="4" borderId="4" xfId="0" applyFont="1" applyFill="1" applyBorder="1"/>
    <xf numFmtId="4" fontId="6" fillId="0" borderId="9" xfId="0" applyNumberFormat="1" applyFont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4" fillId="3" borderId="16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3" borderId="7" xfId="0" applyFont="1" applyFill="1" applyBorder="1" applyAlignment="1">
      <alignment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4" fillId="0" borderId="23" xfId="0" applyFont="1" applyBorder="1" applyAlignment="1">
      <alignment horizontal="center" vertical="top" wrapText="1"/>
    </xf>
    <xf numFmtId="0" fontId="4" fillId="0" borderId="24" xfId="0" applyFont="1" applyBorder="1" applyAlignment="1">
      <alignment horizontal="center" vertical="top" wrapText="1"/>
    </xf>
    <xf numFmtId="0" fontId="6" fillId="0" borderId="25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4" fillId="0" borderId="10" xfId="0" applyFont="1" applyBorder="1" applyAlignment="1">
      <alignment horizontal="center" vertical="top" wrapText="1"/>
    </xf>
    <xf numFmtId="0" fontId="4" fillId="0" borderId="28" xfId="0" applyFont="1" applyBorder="1" applyAlignment="1">
      <alignment horizontal="center" vertical="top" wrapText="1"/>
    </xf>
    <xf numFmtId="4" fontId="3" fillId="0" borderId="29" xfId="0" applyNumberFormat="1" applyFont="1" applyBorder="1" applyAlignment="1">
      <alignment horizontal="center" vertical="top" wrapText="1"/>
    </xf>
    <xf numFmtId="4" fontId="3" fillId="0" borderId="11" xfId="0" applyNumberFormat="1" applyFont="1" applyBorder="1" applyAlignment="1">
      <alignment horizontal="center" vertical="top" wrapText="1"/>
    </xf>
    <xf numFmtId="4" fontId="3" fillId="0" borderId="12" xfId="0" applyNumberFormat="1" applyFont="1" applyBorder="1" applyAlignment="1">
      <alignment horizontal="center" vertical="top" wrapText="1"/>
    </xf>
    <xf numFmtId="0" fontId="5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4" fillId="4" borderId="21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10" fillId="0" borderId="0" xfId="0" applyFont="1"/>
    <xf numFmtId="0" fontId="5" fillId="5" borderId="0" xfId="0" applyFont="1" applyFill="1" applyBorder="1"/>
  </cellXfs>
  <cellStyles count="2">
    <cellStyle name="Moeda" xfId="1" builtinId="4"/>
    <cellStyle name="Normal" xfId="0" builtinId="0"/>
  </cellStyles>
  <dxfs count="3">
    <dxf>
      <font>
        <color rgb="FFFFC000"/>
      </font>
    </dxf>
    <dxf>
      <font>
        <color rgb="FFFF0000"/>
      </font>
      <fill>
        <patternFill>
          <fgColor auto="1"/>
        </patternFill>
      </fill>
    </dxf>
    <dxf>
      <font>
        <color rgb="FF00B050"/>
      </font>
      <fill>
        <patternFill>
          <fgColor auto="1"/>
        </patternFill>
      </fill>
    </dxf>
  </dxfs>
  <tableStyles count="0" defaultTableStyle="TableStyleMedium2" defaultPivotStyle="PivotStyleLight16"/>
  <colors>
    <mruColors>
      <color rgb="FFFF9999"/>
      <color rgb="FF99CCFF"/>
      <color rgb="FFFF9966"/>
      <color rgb="FFCC6600"/>
      <color rgb="FFCC00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>
      <selection activeCell="L16" sqref="L16"/>
    </sheetView>
  </sheetViews>
  <sheetFormatPr defaultRowHeight="14.25"/>
  <cols>
    <col min="1" max="1" width="15" customWidth="1"/>
    <col min="2" max="2" width="10.375" customWidth="1"/>
    <col min="3" max="4" width="12.75" bestFit="1" customWidth="1"/>
    <col min="5" max="5" width="11.375" bestFit="1" customWidth="1"/>
    <col min="6" max="6" width="15.625" bestFit="1" customWidth="1"/>
    <col min="7" max="9" width="11.375" bestFit="1" customWidth="1"/>
    <col min="11" max="11" width="22.125" bestFit="1" customWidth="1"/>
    <col min="12" max="12" width="16.375" customWidth="1"/>
    <col min="13" max="13" width="16.625" bestFit="1" customWidth="1"/>
  </cols>
  <sheetData>
    <row r="1" spans="1:13" ht="16.5" thickBot="1">
      <c r="A1" s="83" t="s">
        <v>27</v>
      </c>
      <c r="B1" s="84"/>
      <c r="C1" s="84"/>
      <c r="D1" s="84"/>
      <c r="E1" s="84"/>
      <c r="F1" s="84"/>
      <c r="G1" s="84"/>
      <c r="H1" s="84"/>
      <c r="I1" s="85"/>
    </row>
    <row r="2" spans="1:13" ht="16.5" thickBot="1">
      <c r="A2" s="13"/>
      <c r="B2" s="13"/>
      <c r="C2" s="13"/>
      <c r="D2" s="13"/>
      <c r="E2" s="13"/>
      <c r="F2" s="13"/>
      <c r="G2" s="13"/>
      <c r="H2" s="13"/>
      <c r="I2" s="13"/>
    </row>
    <row r="3" spans="1:13" ht="15.75">
      <c r="A3" s="59" t="s">
        <v>48</v>
      </c>
      <c r="B3" s="60" t="s">
        <v>49</v>
      </c>
      <c r="C3" s="61" t="s">
        <v>50</v>
      </c>
      <c r="D3" s="61" t="s">
        <v>51</v>
      </c>
      <c r="E3" s="61" t="s">
        <v>52</v>
      </c>
      <c r="F3" s="60" t="s">
        <v>53</v>
      </c>
      <c r="G3" s="60" t="s">
        <v>54</v>
      </c>
      <c r="H3" s="60" t="s">
        <v>55</v>
      </c>
      <c r="I3" s="62" t="s">
        <v>56</v>
      </c>
      <c r="K3" s="54" t="s">
        <v>81</v>
      </c>
      <c r="L3" s="57" t="s">
        <v>82</v>
      </c>
    </row>
    <row r="4" spans="1:13" ht="15.75">
      <c r="A4" s="34">
        <v>1</v>
      </c>
      <c r="B4" s="19" t="s">
        <v>57</v>
      </c>
      <c r="C4" s="35">
        <v>4500</v>
      </c>
      <c r="D4" s="35">
        <v>5040</v>
      </c>
      <c r="E4" s="35">
        <v>5696</v>
      </c>
      <c r="F4" s="40">
        <f>SUM(C4:E4)</f>
        <v>15236</v>
      </c>
      <c r="G4" s="40">
        <f>MAX(C4:E4)</f>
        <v>5696</v>
      </c>
      <c r="H4" s="40">
        <f>MIN(C4:E4)</f>
        <v>4500</v>
      </c>
      <c r="I4" s="41">
        <f>AVERAGE(C4:E4)</f>
        <v>5078.666666666667</v>
      </c>
      <c r="K4" s="101" t="s">
        <v>85</v>
      </c>
    </row>
    <row r="5" spans="1:13" ht="15.75">
      <c r="A5" s="34">
        <v>2</v>
      </c>
      <c r="B5" s="19" t="s">
        <v>58</v>
      </c>
      <c r="C5" s="35">
        <v>6250</v>
      </c>
      <c r="D5" s="35">
        <v>7000</v>
      </c>
      <c r="E5" s="35">
        <v>7910</v>
      </c>
      <c r="F5" s="40">
        <f>SUM(C5:E5)</f>
        <v>21160</v>
      </c>
      <c r="G5" s="40">
        <f t="shared" ref="G5:G9" si="0">MAX(C5:E5)</f>
        <v>7910</v>
      </c>
      <c r="H5" s="40">
        <f t="shared" ref="H5:H9" si="1">MIN(C5:E5)</f>
        <v>6250</v>
      </c>
      <c r="I5" s="41">
        <f t="shared" ref="I5:I9" si="2">AVERAGE(C5:E5)</f>
        <v>7053.333333333333</v>
      </c>
    </row>
    <row r="6" spans="1:13" ht="15.75">
      <c r="A6" s="34">
        <v>3</v>
      </c>
      <c r="B6" s="19" t="s">
        <v>59</v>
      </c>
      <c r="C6" s="35">
        <v>3300</v>
      </c>
      <c r="D6" s="35">
        <v>3696</v>
      </c>
      <c r="E6" s="35">
        <v>4176</v>
      </c>
      <c r="F6" s="40">
        <f>SUM(C6:E6)</f>
        <v>11172</v>
      </c>
      <c r="G6" s="40">
        <f t="shared" si="0"/>
        <v>4176</v>
      </c>
      <c r="H6" s="40">
        <f t="shared" si="1"/>
        <v>3300</v>
      </c>
      <c r="I6" s="41">
        <f t="shared" si="2"/>
        <v>3724</v>
      </c>
    </row>
    <row r="7" spans="1:13" ht="15.75">
      <c r="A7" s="34">
        <v>4</v>
      </c>
      <c r="B7" s="19" t="s">
        <v>60</v>
      </c>
      <c r="C7" s="35">
        <v>8000</v>
      </c>
      <c r="D7" s="35">
        <v>8690</v>
      </c>
      <c r="E7" s="35">
        <v>10125</v>
      </c>
      <c r="F7" s="40">
        <f t="shared" ref="F7:F9" si="3">SUM(C7:E7)</f>
        <v>26815</v>
      </c>
      <c r="G7" s="40">
        <f>MAX(C7:E7)</f>
        <v>10125</v>
      </c>
      <c r="H7" s="40">
        <f t="shared" si="1"/>
        <v>8000</v>
      </c>
      <c r="I7" s="41">
        <f t="shared" si="2"/>
        <v>8938.3333333333339</v>
      </c>
    </row>
    <row r="8" spans="1:13" ht="15.75">
      <c r="A8" s="34">
        <v>5</v>
      </c>
      <c r="B8" s="19" t="s">
        <v>61</v>
      </c>
      <c r="C8" s="35">
        <v>4557</v>
      </c>
      <c r="D8" s="35">
        <v>5104</v>
      </c>
      <c r="E8" s="35">
        <v>5676</v>
      </c>
      <c r="F8" s="40">
        <f>SUM(C8:E8)</f>
        <v>15337</v>
      </c>
      <c r="G8" s="40">
        <f t="shared" si="0"/>
        <v>5676</v>
      </c>
      <c r="H8" s="40">
        <f t="shared" si="1"/>
        <v>4557</v>
      </c>
      <c r="I8" s="41">
        <f t="shared" si="2"/>
        <v>5112.333333333333</v>
      </c>
    </row>
    <row r="9" spans="1:13" ht="16.5" thickBot="1">
      <c r="A9" s="34">
        <v>6</v>
      </c>
      <c r="B9" s="19" t="s">
        <v>62</v>
      </c>
      <c r="C9" s="35">
        <v>3260</v>
      </c>
      <c r="D9" s="35">
        <v>3640</v>
      </c>
      <c r="E9" s="35">
        <v>4113</v>
      </c>
      <c r="F9" s="40">
        <f t="shared" si="3"/>
        <v>11013</v>
      </c>
      <c r="G9" s="40">
        <f t="shared" si="0"/>
        <v>4113</v>
      </c>
      <c r="H9" s="40">
        <f t="shared" si="1"/>
        <v>3260</v>
      </c>
      <c r="I9" s="41">
        <f t="shared" si="2"/>
        <v>3671</v>
      </c>
    </row>
    <row r="10" spans="1:13" ht="16.5" thickBot="1">
      <c r="A10" s="86" t="s">
        <v>63</v>
      </c>
      <c r="B10" s="87"/>
      <c r="C10" s="6">
        <f>SUM(C4:C9)</f>
        <v>29867</v>
      </c>
      <c r="D10" s="6">
        <f t="shared" ref="D10:E10" si="4">SUM(D4:D9)</f>
        <v>33170</v>
      </c>
      <c r="E10" s="6">
        <f t="shared" si="4"/>
        <v>37696</v>
      </c>
      <c r="F10" s="88"/>
      <c r="G10" s="89"/>
      <c r="H10" s="89"/>
      <c r="I10" s="90"/>
      <c r="K10" s="81" t="s">
        <v>68</v>
      </c>
      <c r="L10" s="67" t="s">
        <v>83</v>
      </c>
      <c r="M10" s="68" t="s">
        <v>84</v>
      </c>
    </row>
    <row r="11" spans="1:13" ht="16.5" thickBot="1">
      <c r="A11" s="31"/>
      <c r="B11" s="29"/>
      <c r="C11" s="30"/>
      <c r="D11" s="30"/>
      <c r="E11" s="30"/>
      <c r="F11" s="32"/>
      <c r="G11" s="32"/>
      <c r="H11" s="32"/>
      <c r="I11" s="32"/>
      <c r="K11" s="82"/>
      <c r="L11" s="58">
        <f>SUM(C10:E10)</f>
        <v>100733</v>
      </c>
      <c r="M11" s="69">
        <f>SUM(C19:E19)</f>
        <v>140306</v>
      </c>
    </row>
    <row r="12" spans="1:13" ht="15.75">
      <c r="A12" s="63" t="s">
        <v>48</v>
      </c>
      <c r="B12" s="60" t="s">
        <v>49</v>
      </c>
      <c r="C12" s="64" t="s">
        <v>64</v>
      </c>
      <c r="D12" s="65" t="s">
        <v>65</v>
      </c>
      <c r="E12" s="65" t="s">
        <v>66</v>
      </c>
      <c r="F12" s="66" t="s">
        <v>67</v>
      </c>
      <c r="G12" s="66" t="s">
        <v>54</v>
      </c>
      <c r="H12" s="60" t="s">
        <v>55</v>
      </c>
      <c r="I12" s="62" t="s">
        <v>56</v>
      </c>
    </row>
    <row r="13" spans="1:13" ht="15.75">
      <c r="A13" s="34">
        <v>1</v>
      </c>
      <c r="B13" s="19" t="s">
        <v>57</v>
      </c>
      <c r="C13" s="35">
        <v>6265</v>
      </c>
      <c r="D13" s="35">
        <v>6954</v>
      </c>
      <c r="E13" s="35">
        <v>7858</v>
      </c>
      <c r="F13" s="35">
        <f>SUM(C13:E13)</f>
        <v>21077</v>
      </c>
      <c r="G13" s="35">
        <f>MAX(C13:E13)</f>
        <v>7858</v>
      </c>
      <c r="H13" s="40">
        <f>MIN(C13:E13)</f>
        <v>6265</v>
      </c>
      <c r="I13" s="41">
        <f>AVERAGE(C13:E13)</f>
        <v>7025.666666666667</v>
      </c>
    </row>
    <row r="14" spans="1:13" ht="15.75">
      <c r="A14" s="34">
        <v>2</v>
      </c>
      <c r="B14" s="19" t="s">
        <v>58</v>
      </c>
      <c r="C14" s="35">
        <v>8701</v>
      </c>
      <c r="D14" s="35">
        <v>9658</v>
      </c>
      <c r="E14" s="35">
        <v>10197</v>
      </c>
      <c r="F14" s="35">
        <f>SUM(C14:E14)</f>
        <v>28556</v>
      </c>
      <c r="G14" s="35">
        <f t="shared" ref="G14:G18" si="5">MAX(C14:E14)</f>
        <v>10197</v>
      </c>
      <c r="H14" s="40">
        <f t="shared" ref="H14:H18" si="6">MIN(C14:E14)</f>
        <v>8701</v>
      </c>
      <c r="I14" s="41">
        <f t="shared" ref="I14:I18" si="7">AVERAGE(C14:E14)</f>
        <v>9518.6666666666661</v>
      </c>
    </row>
    <row r="15" spans="1:13" ht="15.75">
      <c r="A15" s="34">
        <v>3</v>
      </c>
      <c r="B15" s="19" t="s">
        <v>59</v>
      </c>
      <c r="C15" s="35">
        <v>4569</v>
      </c>
      <c r="D15" s="35">
        <v>5099</v>
      </c>
      <c r="E15" s="35">
        <v>5769</v>
      </c>
      <c r="F15" s="35">
        <f>SUM(C15:E15)</f>
        <v>15437</v>
      </c>
      <c r="G15" s="35">
        <f t="shared" si="5"/>
        <v>5769</v>
      </c>
      <c r="H15" s="40">
        <f t="shared" si="6"/>
        <v>4569</v>
      </c>
      <c r="I15" s="41">
        <f t="shared" si="7"/>
        <v>5145.666666666667</v>
      </c>
    </row>
    <row r="16" spans="1:13" ht="15.75">
      <c r="A16" s="34">
        <v>4</v>
      </c>
      <c r="B16" s="19" t="s">
        <v>60</v>
      </c>
      <c r="C16" s="35">
        <v>12341</v>
      </c>
      <c r="D16" s="35">
        <v>12365</v>
      </c>
      <c r="E16" s="35">
        <v>13969</v>
      </c>
      <c r="F16" s="35">
        <f t="shared" ref="F16:F18" si="8">SUM(C16:E16)</f>
        <v>38675</v>
      </c>
      <c r="G16" s="35">
        <f t="shared" si="5"/>
        <v>13969</v>
      </c>
      <c r="H16" s="40">
        <f>MIN(C16:E16)</f>
        <v>12341</v>
      </c>
      <c r="I16" s="41">
        <f>AVERAGE(C16:E16)</f>
        <v>12891.666666666666</v>
      </c>
    </row>
    <row r="17" spans="1:9" ht="15.75">
      <c r="A17" s="34">
        <v>5</v>
      </c>
      <c r="B17" s="19" t="s">
        <v>61</v>
      </c>
      <c r="C17" s="35">
        <v>6344</v>
      </c>
      <c r="D17" s="35">
        <v>7042</v>
      </c>
      <c r="E17" s="35">
        <v>7957</v>
      </c>
      <c r="F17" s="35">
        <f t="shared" si="8"/>
        <v>21343</v>
      </c>
      <c r="G17" s="35">
        <f t="shared" si="5"/>
        <v>7957</v>
      </c>
      <c r="H17" s="40">
        <f t="shared" si="6"/>
        <v>6344</v>
      </c>
      <c r="I17" s="41">
        <f t="shared" si="7"/>
        <v>7114.333333333333</v>
      </c>
    </row>
    <row r="18" spans="1:9" ht="16.5" thickBot="1">
      <c r="A18" s="36">
        <v>6</v>
      </c>
      <c r="B18" s="37" t="s">
        <v>62</v>
      </c>
      <c r="C18" s="38">
        <v>4525</v>
      </c>
      <c r="D18" s="38">
        <v>5022</v>
      </c>
      <c r="E18" s="38">
        <v>5671</v>
      </c>
      <c r="F18" s="35">
        <f t="shared" si="8"/>
        <v>15218</v>
      </c>
      <c r="G18" s="35">
        <f t="shared" si="5"/>
        <v>5671</v>
      </c>
      <c r="H18" s="40">
        <f t="shared" si="6"/>
        <v>4525</v>
      </c>
      <c r="I18" s="41">
        <f t="shared" si="7"/>
        <v>5072.666666666667</v>
      </c>
    </row>
    <row r="19" spans="1:9" ht="16.5" thickBot="1">
      <c r="A19" s="91" t="s">
        <v>63</v>
      </c>
      <c r="B19" s="92"/>
      <c r="C19" s="39">
        <f>SUM(C13:C18)</f>
        <v>42745</v>
      </c>
      <c r="D19" s="39">
        <f t="shared" ref="D19:E19" si="9">SUM(D13:D18)</f>
        <v>46140</v>
      </c>
      <c r="E19" s="39">
        <f t="shared" si="9"/>
        <v>51421</v>
      </c>
      <c r="F19" s="93"/>
      <c r="G19" s="94"/>
      <c r="H19" s="94"/>
      <c r="I19" s="95"/>
    </row>
    <row r="20" spans="1:9" ht="15.75">
      <c r="A20" s="31"/>
      <c r="B20" s="29"/>
      <c r="C20" s="29"/>
      <c r="D20" s="30"/>
      <c r="E20" s="30"/>
      <c r="F20" s="30"/>
      <c r="G20" s="30"/>
      <c r="H20" s="32"/>
      <c r="I20" s="32"/>
    </row>
    <row r="21" spans="1:9" ht="15.75">
      <c r="C21" s="56"/>
      <c r="D21" s="56"/>
      <c r="E21" s="31"/>
      <c r="F21" s="31"/>
      <c r="G21" s="31"/>
      <c r="H21" s="32"/>
      <c r="I21" s="32"/>
    </row>
    <row r="22" spans="1:9" ht="15.75">
      <c r="A22" s="31"/>
      <c r="B22" s="33"/>
      <c r="C22" s="42"/>
      <c r="D22" s="33"/>
      <c r="E22" s="30"/>
      <c r="F22" s="32"/>
      <c r="G22" s="32"/>
      <c r="H22" s="32"/>
      <c r="I22" s="9"/>
    </row>
    <row r="23" spans="1:9" ht="15.75">
      <c r="A23" s="31" t="s">
        <v>17</v>
      </c>
      <c r="B23" s="32"/>
      <c r="C23" s="29"/>
      <c r="D23" s="32"/>
      <c r="E23" s="30"/>
      <c r="F23" s="32"/>
      <c r="G23" s="32"/>
      <c r="H23" s="32"/>
      <c r="I23" s="9"/>
    </row>
    <row r="24" spans="1:9" ht="15">
      <c r="A24" s="10" t="s">
        <v>69</v>
      </c>
      <c r="B24" s="9"/>
      <c r="C24" s="9"/>
      <c r="D24" s="9"/>
      <c r="E24" s="9"/>
      <c r="F24" s="9"/>
      <c r="G24" s="9"/>
      <c r="H24" s="9"/>
      <c r="I24" s="9"/>
    </row>
    <row r="25" spans="1:9" ht="15">
      <c r="A25" s="9"/>
      <c r="B25" s="10" t="s">
        <v>70</v>
      </c>
      <c r="C25" s="9"/>
      <c r="D25" s="9"/>
      <c r="E25" s="9"/>
      <c r="F25" s="9"/>
      <c r="G25" s="9"/>
      <c r="H25" s="9"/>
      <c r="I25" s="9"/>
    </row>
    <row r="26" spans="1:9" ht="15">
      <c r="A26" s="9"/>
      <c r="B26" s="10" t="s">
        <v>71</v>
      </c>
      <c r="C26" s="9"/>
      <c r="D26" s="9"/>
      <c r="E26" s="9"/>
      <c r="F26" s="9"/>
      <c r="G26" s="9"/>
      <c r="H26" s="9"/>
      <c r="I26" s="9"/>
    </row>
    <row r="27" spans="1:9" ht="15">
      <c r="A27" s="9"/>
      <c r="B27" s="10" t="s">
        <v>72</v>
      </c>
      <c r="C27" s="9"/>
      <c r="D27" s="9"/>
      <c r="E27" s="9"/>
      <c r="F27" s="9"/>
      <c r="G27" s="9"/>
      <c r="H27" s="9"/>
      <c r="I27" s="9"/>
    </row>
    <row r="28" spans="1:9" ht="15">
      <c r="A28" s="9"/>
      <c r="B28" s="10" t="s">
        <v>73</v>
      </c>
      <c r="C28" s="9"/>
      <c r="D28" s="9"/>
      <c r="E28" s="9"/>
      <c r="F28" s="9"/>
      <c r="G28" s="9"/>
      <c r="H28" s="9"/>
      <c r="I28" s="9"/>
    </row>
    <row r="29" spans="1:9" ht="15">
      <c r="A29" s="10" t="s">
        <v>74</v>
      </c>
      <c r="B29" s="9"/>
      <c r="C29" s="9"/>
      <c r="D29" s="9"/>
      <c r="E29" s="9"/>
      <c r="F29" s="9"/>
      <c r="G29" s="9"/>
      <c r="H29" s="9"/>
      <c r="I29" s="9"/>
    </row>
    <row r="30" spans="1:9" ht="15">
      <c r="A30" s="9"/>
      <c r="B30" s="10" t="s">
        <v>75</v>
      </c>
      <c r="C30" s="9"/>
      <c r="D30" s="9"/>
      <c r="E30" s="9"/>
      <c r="F30" s="9"/>
      <c r="G30" s="9"/>
      <c r="H30" s="9"/>
      <c r="I30" s="9"/>
    </row>
    <row r="31" spans="1:9" ht="15">
      <c r="A31" s="9"/>
      <c r="B31" s="10" t="s">
        <v>76</v>
      </c>
      <c r="C31" s="9"/>
      <c r="D31" s="9"/>
      <c r="E31" s="9"/>
      <c r="F31" s="9"/>
      <c r="G31" s="9"/>
      <c r="H31" s="9"/>
      <c r="I31" s="9"/>
    </row>
    <row r="32" spans="1:9" ht="15">
      <c r="A32" s="9"/>
      <c r="B32" s="10" t="s">
        <v>77</v>
      </c>
      <c r="C32" s="9"/>
      <c r="D32" s="9"/>
      <c r="E32" s="9"/>
      <c r="F32" s="9"/>
      <c r="G32" s="9"/>
      <c r="H32" s="9"/>
      <c r="I32" s="9"/>
    </row>
    <row r="33" spans="1:9" ht="15">
      <c r="A33" s="9"/>
      <c r="B33" s="10" t="s">
        <v>78</v>
      </c>
      <c r="C33" s="9"/>
      <c r="D33" s="9"/>
      <c r="E33" s="9"/>
      <c r="F33" s="9"/>
      <c r="G33" s="9"/>
      <c r="H33" s="9"/>
      <c r="I33" s="9"/>
    </row>
    <row r="34" spans="1:9" ht="15">
      <c r="A34" s="9"/>
      <c r="B34" s="10" t="s">
        <v>79</v>
      </c>
      <c r="C34" s="9"/>
      <c r="D34" s="9"/>
      <c r="E34" s="9"/>
      <c r="F34" s="9"/>
      <c r="G34" s="9"/>
      <c r="H34" s="9"/>
      <c r="I34" s="9"/>
    </row>
    <row r="35" spans="1:9" ht="15">
      <c r="A35" s="9"/>
      <c r="B35" s="10" t="s">
        <v>80</v>
      </c>
      <c r="C35" s="9"/>
      <c r="D35" s="9"/>
      <c r="E35" s="9"/>
      <c r="F35" s="9"/>
      <c r="G35" s="9"/>
      <c r="H35" s="9"/>
      <c r="I35" s="9"/>
    </row>
    <row r="36" spans="1:9">
      <c r="A36" s="9"/>
      <c r="B36" s="9"/>
      <c r="C36" s="9"/>
      <c r="D36" s="9"/>
      <c r="E36" s="9"/>
      <c r="F36" s="9"/>
      <c r="G36" s="9"/>
      <c r="H36" s="9"/>
      <c r="I36" s="9"/>
    </row>
  </sheetData>
  <mergeCells count="6">
    <mergeCell ref="K10:K11"/>
    <mergeCell ref="A1:I1"/>
    <mergeCell ref="A10:B10"/>
    <mergeCell ref="F10:I10"/>
    <mergeCell ref="A19:B19"/>
    <mergeCell ref="F19:I1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>
      <selection activeCell="J4" sqref="J4"/>
    </sheetView>
  </sheetViews>
  <sheetFormatPr defaultColWidth="13.375" defaultRowHeight="14.25"/>
  <cols>
    <col min="1" max="1" width="13.625" bestFit="1" customWidth="1"/>
    <col min="2" max="2" width="12.375" customWidth="1"/>
    <col min="3" max="3" width="14.875" bestFit="1" customWidth="1"/>
    <col min="4" max="4" width="9" bestFit="1" customWidth="1"/>
    <col min="5" max="5" width="14.25" customWidth="1"/>
    <col min="6" max="6" width="10.375" bestFit="1" customWidth="1"/>
    <col min="7" max="7" width="17" bestFit="1" customWidth="1"/>
    <col min="8" max="8" width="17.125" bestFit="1" customWidth="1"/>
    <col min="11" max="11" width="22.125" bestFit="1" customWidth="1"/>
  </cols>
  <sheetData>
    <row r="1" spans="1:12" ht="16.5" thickBot="1">
      <c r="A1" s="83" t="s">
        <v>27</v>
      </c>
      <c r="B1" s="84"/>
      <c r="C1" s="84"/>
      <c r="D1" s="84"/>
      <c r="E1" s="84"/>
      <c r="F1" s="84"/>
      <c r="G1" s="84"/>
      <c r="H1" s="85"/>
    </row>
    <row r="2" spans="1:12" ht="16.5" thickBot="1">
      <c r="A2" s="13"/>
      <c r="B2" s="13"/>
      <c r="C2" s="13"/>
      <c r="D2" s="13"/>
      <c r="E2" s="13"/>
      <c r="F2" s="13"/>
      <c r="G2" s="13"/>
      <c r="H2" s="13"/>
      <c r="K2" s="54" t="s">
        <v>81</v>
      </c>
      <c r="L2" s="102" t="s">
        <v>82</v>
      </c>
    </row>
    <row r="3" spans="1:12" ht="16.5" thickBot="1">
      <c r="A3" s="70" t="s">
        <v>28</v>
      </c>
      <c r="B3" s="71" t="s">
        <v>29</v>
      </c>
      <c r="C3" s="71" t="s">
        <v>30</v>
      </c>
      <c r="D3" s="71" t="s">
        <v>31</v>
      </c>
      <c r="E3" s="71" t="s">
        <v>32</v>
      </c>
      <c r="F3" s="71" t="s">
        <v>33</v>
      </c>
      <c r="G3" s="71" t="s">
        <v>34</v>
      </c>
      <c r="H3" s="72" t="s">
        <v>35</v>
      </c>
      <c r="K3" s="101" t="s">
        <v>85</v>
      </c>
    </row>
    <row r="4" spans="1:12" ht="15">
      <c r="A4" s="14">
        <v>1</v>
      </c>
      <c r="B4" s="15" t="s">
        <v>36</v>
      </c>
      <c r="C4" s="16">
        <v>853</v>
      </c>
      <c r="D4" s="17">
        <v>0.1</v>
      </c>
      <c r="E4" s="26">
        <v>0.09</v>
      </c>
      <c r="F4" s="16">
        <f>C4*D4</f>
        <v>85.300000000000011</v>
      </c>
      <c r="G4" s="16">
        <f>C4*E4</f>
        <v>76.77</v>
      </c>
      <c r="H4" s="43">
        <f>(C4+G4)-F4</f>
        <v>844.47</v>
      </c>
    </row>
    <row r="5" spans="1:12" ht="15">
      <c r="A5" s="18">
        <v>2</v>
      </c>
      <c r="B5" s="19" t="s">
        <v>37</v>
      </c>
      <c r="C5" s="20">
        <v>951</v>
      </c>
      <c r="D5" s="21">
        <v>9.9900000000000003E-2</v>
      </c>
      <c r="E5" s="27">
        <v>0.08</v>
      </c>
      <c r="F5" s="16">
        <f t="shared" ref="F5:F11" si="0">C5*D5</f>
        <v>95.004900000000006</v>
      </c>
      <c r="G5" s="16">
        <f t="shared" ref="G5:G11" si="1">C5*E5</f>
        <v>76.08</v>
      </c>
      <c r="H5" s="43">
        <f t="shared" ref="H5:H11" si="2">(C5+G5)-F5</f>
        <v>932.07509999999991</v>
      </c>
    </row>
    <row r="6" spans="1:12" ht="15">
      <c r="A6" s="18">
        <v>3</v>
      </c>
      <c r="B6" s="19" t="s">
        <v>38</v>
      </c>
      <c r="C6" s="20">
        <v>456</v>
      </c>
      <c r="D6" s="21">
        <v>8.6400000000000005E-2</v>
      </c>
      <c r="E6" s="27">
        <v>0.06</v>
      </c>
      <c r="F6" s="16">
        <f t="shared" si="0"/>
        <v>39.398400000000002</v>
      </c>
      <c r="G6" s="16">
        <f t="shared" si="1"/>
        <v>27.36</v>
      </c>
      <c r="H6" s="43">
        <f t="shared" si="2"/>
        <v>443.96160000000003</v>
      </c>
    </row>
    <row r="7" spans="1:12" ht="15">
      <c r="A7" s="18">
        <v>4</v>
      </c>
      <c r="B7" s="19" t="s">
        <v>39</v>
      </c>
      <c r="C7" s="20">
        <v>500</v>
      </c>
      <c r="D7" s="21">
        <v>8.5000000000000006E-2</v>
      </c>
      <c r="E7" s="27">
        <v>0.06</v>
      </c>
      <c r="F7" s="16">
        <f t="shared" si="0"/>
        <v>42.5</v>
      </c>
      <c r="G7" s="16">
        <f t="shared" si="1"/>
        <v>30</v>
      </c>
      <c r="H7" s="43">
        <f t="shared" si="2"/>
        <v>487.5</v>
      </c>
    </row>
    <row r="8" spans="1:12" ht="15">
      <c r="A8" s="18">
        <v>5</v>
      </c>
      <c r="B8" s="19" t="s">
        <v>40</v>
      </c>
      <c r="C8" s="20">
        <v>850</v>
      </c>
      <c r="D8" s="21">
        <v>8.9899999999999994E-2</v>
      </c>
      <c r="E8" s="27">
        <v>7.0000000000000007E-2</v>
      </c>
      <c r="F8" s="16">
        <f t="shared" si="0"/>
        <v>76.414999999999992</v>
      </c>
      <c r="G8" s="16">
        <f t="shared" si="1"/>
        <v>59.500000000000007</v>
      </c>
      <c r="H8" s="43">
        <f t="shared" si="2"/>
        <v>833.08500000000004</v>
      </c>
    </row>
    <row r="9" spans="1:12" ht="15">
      <c r="A9" s="18">
        <v>6</v>
      </c>
      <c r="B9" s="19" t="s">
        <v>41</v>
      </c>
      <c r="C9" s="20">
        <v>459</v>
      </c>
      <c r="D9" s="21">
        <v>6.25E-2</v>
      </c>
      <c r="E9" s="27">
        <v>0.05</v>
      </c>
      <c r="F9" s="16">
        <f t="shared" si="0"/>
        <v>28.6875</v>
      </c>
      <c r="G9" s="16">
        <f t="shared" si="1"/>
        <v>22.950000000000003</v>
      </c>
      <c r="H9" s="43">
        <f t="shared" si="2"/>
        <v>453.26249999999999</v>
      </c>
    </row>
    <row r="10" spans="1:12" ht="15">
      <c r="A10" s="18">
        <v>7</v>
      </c>
      <c r="B10" s="19" t="s">
        <v>42</v>
      </c>
      <c r="C10" s="20">
        <v>478</v>
      </c>
      <c r="D10" s="21">
        <v>7.1199999999999999E-2</v>
      </c>
      <c r="E10" s="27">
        <v>0.05</v>
      </c>
      <c r="F10" s="16">
        <f t="shared" si="0"/>
        <v>34.0336</v>
      </c>
      <c r="G10" s="16">
        <f t="shared" si="1"/>
        <v>23.900000000000002</v>
      </c>
      <c r="H10" s="43">
        <f t="shared" si="2"/>
        <v>467.8664</v>
      </c>
    </row>
    <row r="11" spans="1:12" ht="15.75" thickBot="1">
      <c r="A11" s="22">
        <v>8</v>
      </c>
      <c r="B11" s="23" t="s">
        <v>43</v>
      </c>
      <c r="C11" s="24">
        <v>658</v>
      </c>
      <c r="D11" s="25">
        <v>5.9900000000000002E-2</v>
      </c>
      <c r="E11" s="28">
        <v>0.04</v>
      </c>
      <c r="F11" s="16">
        <f t="shared" si="0"/>
        <v>39.414200000000001</v>
      </c>
      <c r="G11" s="16">
        <f t="shared" si="1"/>
        <v>26.32</v>
      </c>
      <c r="H11" s="43">
        <f t="shared" si="2"/>
        <v>644.9058</v>
      </c>
    </row>
    <row r="12" spans="1:12">
      <c r="A12" s="9"/>
      <c r="B12" s="9"/>
      <c r="C12" s="9"/>
      <c r="D12" s="9"/>
      <c r="E12" s="9"/>
      <c r="F12" s="9"/>
      <c r="G12" s="9"/>
      <c r="H12" s="9"/>
    </row>
    <row r="13" spans="1:12" ht="15.75">
      <c r="A13" s="12" t="s">
        <v>17</v>
      </c>
      <c r="B13" s="9"/>
      <c r="C13" s="9"/>
      <c r="D13" s="9"/>
      <c r="E13" s="9"/>
      <c r="F13" s="9"/>
      <c r="G13" s="9"/>
      <c r="H13" s="9"/>
    </row>
    <row r="14" spans="1:12" ht="15">
      <c r="A14" s="9"/>
      <c r="B14" s="10" t="s">
        <v>44</v>
      </c>
      <c r="C14" s="9"/>
      <c r="D14" s="9"/>
      <c r="E14" s="9"/>
      <c r="F14" s="9"/>
      <c r="G14" s="9"/>
      <c r="H14" s="9"/>
    </row>
    <row r="15" spans="1:12" ht="15">
      <c r="A15" s="9"/>
      <c r="B15" s="10" t="s">
        <v>45</v>
      </c>
      <c r="C15" s="9"/>
      <c r="D15" s="9"/>
      <c r="E15" s="9"/>
      <c r="F15" s="9"/>
      <c r="G15" s="9"/>
      <c r="H15" s="9"/>
    </row>
    <row r="16" spans="1:12" ht="15">
      <c r="A16" s="9"/>
      <c r="B16" s="10" t="s">
        <v>46</v>
      </c>
      <c r="C16" s="9"/>
      <c r="D16" s="9"/>
      <c r="E16" s="9"/>
      <c r="F16" s="9"/>
      <c r="G16" s="9"/>
      <c r="H16" s="9"/>
    </row>
    <row r="17" spans="1:8" ht="15">
      <c r="A17" s="9"/>
      <c r="B17" s="10" t="s">
        <v>47</v>
      </c>
      <c r="C17" s="9"/>
      <c r="D17" s="9"/>
      <c r="E17" s="9"/>
      <c r="F17" s="9"/>
      <c r="G17" s="9"/>
      <c r="H17" s="9"/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I9" sqref="I9"/>
    </sheetView>
  </sheetViews>
  <sheetFormatPr defaultRowHeight="14.25"/>
  <cols>
    <col min="1" max="1" width="17.625" bestFit="1" customWidth="1"/>
    <col min="2" max="2" width="17" customWidth="1"/>
    <col min="3" max="5" width="17.625" bestFit="1" customWidth="1"/>
    <col min="6" max="6" width="17.875" bestFit="1" customWidth="1"/>
    <col min="10" max="10" width="22.125" bestFit="1" customWidth="1"/>
  </cols>
  <sheetData>
    <row r="1" spans="1:11" ht="16.5" thickBot="1">
      <c r="A1" s="83" t="s">
        <v>26</v>
      </c>
      <c r="B1" s="84"/>
      <c r="C1" s="84"/>
      <c r="D1" s="84"/>
      <c r="E1" s="84"/>
      <c r="F1" s="85"/>
    </row>
    <row r="2" spans="1:11" ht="16.5" thickBot="1">
      <c r="A2" s="3"/>
      <c r="B2" s="3"/>
      <c r="C2" s="3"/>
      <c r="D2" s="3"/>
      <c r="E2" s="3"/>
      <c r="F2" s="3"/>
      <c r="J2" s="54" t="s">
        <v>81</v>
      </c>
      <c r="K2" s="55" t="s">
        <v>82</v>
      </c>
    </row>
    <row r="3" spans="1:11" ht="15.75">
      <c r="A3" s="99" t="s">
        <v>0</v>
      </c>
      <c r="B3" s="73" t="s">
        <v>1</v>
      </c>
      <c r="C3" s="73" t="s">
        <v>2</v>
      </c>
      <c r="D3" s="73" t="s">
        <v>3</v>
      </c>
      <c r="E3" s="73" t="s">
        <v>4</v>
      </c>
      <c r="F3" s="74" t="s">
        <v>5</v>
      </c>
      <c r="J3" s="101" t="s">
        <v>85</v>
      </c>
    </row>
    <row r="4" spans="1:11" ht="15.75" thickBot="1">
      <c r="A4" s="100"/>
      <c r="B4" s="48">
        <v>140000</v>
      </c>
      <c r="C4" s="44">
        <v>185000</v>
      </c>
      <c r="D4" s="44">
        <v>204100</v>
      </c>
      <c r="E4" s="44">
        <v>240000</v>
      </c>
      <c r="F4" s="49">
        <f>SUM(B4:E4)</f>
        <v>769100</v>
      </c>
    </row>
    <row r="5" spans="1:11" ht="15.75" thickBot="1">
      <c r="A5" s="3"/>
      <c r="B5" s="45"/>
      <c r="C5" s="4"/>
      <c r="D5" s="4"/>
      <c r="E5" s="4"/>
      <c r="F5" s="3"/>
    </row>
    <row r="6" spans="1:11" ht="31.5" customHeight="1">
      <c r="A6" s="75" t="s">
        <v>6</v>
      </c>
      <c r="B6" s="76" t="s">
        <v>1</v>
      </c>
      <c r="C6" s="76" t="s">
        <v>2</v>
      </c>
      <c r="D6" s="76" t="s">
        <v>3</v>
      </c>
      <c r="E6" s="76" t="s">
        <v>4</v>
      </c>
      <c r="F6" s="77" t="s">
        <v>5</v>
      </c>
    </row>
    <row r="7" spans="1:11" ht="15.75">
      <c r="A7" s="7" t="s">
        <v>7</v>
      </c>
      <c r="B7" s="50">
        <v>20000</v>
      </c>
      <c r="C7" s="50">
        <v>26000</v>
      </c>
      <c r="D7" s="50">
        <v>33800</v>
      </c>
      <c r="E7" s="50">
        <v>43940</v>
      </c>
      <c r="F7" s="51">
        <f>SUM(B7:E7)</f>
        <v>123740</v>
      </c>
    </row>
    <row r="8" spans="1:11" ht="15.75">
      <c r="A8" s="7" t="s">
        <v>8</v>
      </c>
      <c r="B8" s="50">
        <v>20000</v>
      </c>
      <c r="C8" s="50">
        <v>15600</v>
      </c>
      <c r="D8" s="50">
        <v>20280</v>
      </c>
      <c r="E8" s="50">
        <v>26364</v>
      </c>
      <c r="F8" s="51">
        <f t="shared" ref="F8:F12" si="0">SUM(B8:E8)</f>
        <v>82244</v>
      </c>
    </row>
    <row r="9" spans="1:11" ht="15.75">
      <c r="A9" s="7" t="s">
        <v>9</v>
      </c>
      <c r="B9" s="50">
        <v>12000</v>
      </c>
      <c r="C9" s="50">
        <v>20930</v>
      </c>
      <c r="D9" s="50">
        <v>27209</v>
      </c>
      <c r="E9" s="50">
        <v>35371.699999999997</v>
      </c>
      <c r="F9" s="51">
        <f t="shared" si="0"/>
        <v>95510.7</v>
      </c>
    </row>
    <row r="10" spans="1:11" ht="15.75">
      <c r="A10" s="7" t="s">
        <v>10</v>
      </c>
      <c r="B10" s="50">
        <v>16100</v>
      </c>
      <c r="C10" s="50">
        <v>28870</v>
      </c>
      <c r="D10" s="50">
        <v>33631</v>
      </c>
      <c r="E10" s="50">
        <v>43720.3</v>
      </c>
      <c r="F10" s="51">
        <f t="shared" si="0"/>
        <v>122321.3</v>
      </c>
    </row>
    <row r="11" spans="1:11" ht="15.75">
      <c r="A11" s="7" t="s">
        <v>11</v>
      </c>
      <c r="B11" s="50">
        <v>19900</v>
      </c>
      <c r="C11" s="50">
        <v>39000</v>
      </c>
      <c r="D11" s="50">
        <v>50700</v>
      </c>
      <c r="E11" s="50">
        <v>65910</v>
      </c>
      <c r="F11" s="51">
        <f t="shared" si="0"/>
        <v>175510</v>
      </c>
    </row>
    <row r="12" spans="1:11" ht="16.5" thickBot="1">
      <c r="A12" s="8" t="s">
        <v>12</v>
      </c>
      <c r="B12" s="44">
        <v>25000</v>
      </c>
      <c r="C12" s="44">
        <v>32500</v>
      </c>
      <c r="D12" s="44">
        <v>42250</v>
      </c>
      <c r="E12" s="44">
        <v>54925</v>
      </c>
      <c r="F12" s="51">
        <f t="shared" si="0"/>
        <v>154675</v>
      </c>
    </row>
    <row r="13" spans="1:11" ht="16.5" thickBot="1">
      <c r="A13" s="5"/>
      <c r="B13" s="46"/>
      <c r="C13" s="4"/>
      <c r="D13" s="4"/>
      <c r="E13" s="4"/>
      <c r="F13" s="3"/>
    </row>
    <row r="14" spans="1:11" ht="15.75">
      <c r="A14" s="78" t="s">
        <v>13</v>
      </c>
      <c r="B14" s="52">
        <f>SUM(B7:B12)</f>
        <v>113000</v>
      </c>
      <c r="C14" s="52">
        <f t="shared" ref="C14:E14" si="1">SUM(C7:C12)</f>
        <v>162900</v>
      </c>
      <c r="D14" s="52">
        <f t="shared" si="1"/>
        <v>207870</v>
      </c>
      <c r="E14" s="52">
        <f t="shared" si="1"/>
        <v>270231</v>
      </c>
      <c r="F14" s="3"/>
    </row>
    <row r="15" spans="1:11" ht="15.75">
      <c r="A15" s="79" t="s">
        <v>14</v>
      </c>
      <c r="B15" s="50">
        <f>B4-B14</f>
        <v>27000</v>
      </c>
      <c r="C15" s="50">
        <f t="shared" ref="C15:E15" si="2">C4-C14</f>
        <v>22100</v>
      </c>
      <c r="D15" s="50">
        <f t="shared" si="2"/>
        <v>-3770</v>
      </c>
      <c r="E15" s="50">
        <f t="shared" si="2"/>
        <v>-30231</v>
      </c>
      <c r="F15" s="3"/>
    </row>
    <row r="16" spans="1:11" ht="16.5" thickBot="1">
      <c r="A16" s="80" t="s">
        <v>15</v>
      </c>
      <c r="B16" s="47" t="str">
        <f t="shared" ref="B16:E16" si="3">IF(B15&lt;1000, "Prejuízo Total!", IF(B15&lt;5000, "Lucro Médio", "Lucro Total!"))</f>
        <v>Lucro Total!</v>
      </c>
      <c r="C16" s="47" t="str">
        <f t="shared" si="3"/>
        <v>Lucro Total!</v>
      </c>
      <c r="D16" s="47" t="str">
        <f>IF(D15&lt;1000, "Prejuízo Total!", IF(D15&lt;5000, "Lucro Médio", "Lucro Total!"))</f>
        <v>Prejuízo Total!</v>
      </c>
      <c r="E16" s="47" t="str">
        <f t="shared" si="3"/>
        <v>Prejuízo Total!</v>
      </c>
      <c r="F16" s="3"/>
    </row>
    <row r="17" spans="1:6" ht="16.5" thickBot="1">
      <c r="A17" s="96" t="s">
        <v>16</v>
      </c>
      <c r="B17" s="97"/>
      <c r="C17" s="97"/>
      <c r="D17" s="97"/>
      <c r="E17" s="98"/>
      <c r="F17" s="53">
        <f>SUM(F7:F12)</f>
        <v>754001</v>
      </c>
    </row>
    <row r="18" spans="1:6">
      <c r="A18" s="1"/>
      <c r="B18" s="2"/>
      <c r="C18" s="2"/>
      <c r="D18" s="2"/>
      <c r="E18" s="2"/>
      <c r="F18" s="2"/>
    </row>
    <row r="19" spans="1:6">
      <c r="A19" s="9"/>
      <c r="B19" s="9"/>
      <c r="C19" s="9"/>
      <c r="D19" s="9"/>
      <c r="E19" s="9"/>
      <c r="F19" s="9"/>
    </row>
    <row r="20" spans="1:6" ht="15.75">
      <c r="A20" s="5" t="s">
        <v>17</v>
      </c>
      <c r="B20" s="9"/>
      <c r="C20" s="9"/>
      <c r="D20" s="9"/>
      <c r="E20" s="9"/>
      <c r="F20" s="9"/>
    </row>
    <row r="21" spans="1:6" ht="15">
      <c r="A21" s="9"/>
      <c r="B21" s="10" t="s">
        <v>18</v>
      </c>
      <c r="C21" s="9"/>
      <c r="D21" s="9"/>
      <c r="E21" s="9"/>
      <c r="F21" s="9"/>
    </row>
    <row r="22" spans="1:6" ht="15">
      <c r="A22" s="9"/>
      <c r="B22" s="10" t="s">
        <v>19</v>
      </c>
      <c r="C22" s="9"/>
      <c r="D22" s="9"/>
      <c r="E22" s="9"/>
      <c r="F22" s="9"/>
    </row>
    <row r="23" spans="1:6" ht="15">
      <c r="A23" s="9"/>
      <c r="B23" s="10" t="s">
        <v>20</v>
      </c>
      <c r="C23" s="9"/>
      <c r="D23" s="9"/>
      <c r="E23" s="9"/>
      <c r="F23" s="9"/>
    </row>
    <row r="24" spans="1:6" ht="15">
      <c r="A24" s="9"/>
      <c r="B24" s="10" t="s">
        <v>21</v>
      </c>
      <c r="C24" s="9"/>
      <c r="D24" s="9"/>
      <c r="E24" s="9"/>
      <c r="F24" s="9"/>
    </row>
    <row r="25" spans="1:6" ht="15">
      <c r="A25" s="9"/>
      <c r="B25" s="10" t="s">
        <v>22</v>
      </c>
      <c r="C25" s="9"/>
      <c r="D25" s="9"/>
      <c r="E25" s="9"/>
      <c r="F25" s="9"/>
    </row>
    <row r="26" spans="1:6" ht="15">
      <c r="A26" s="9"/>
      <c r="B26" s="10"/>
      <c r="C26" s="9"/>
      <c r="D26" s="9"/>
      <c r="E26" s="9"/>
      <c r="F26" s="9"/>
    </row>
    <row r="27" spans="1:6" ht="15">
      <c r="A27" s="9"/>
      <c r="B27" s="10" t="s">
        <v>23</v>
      </c>
      <c r="C27" s="9"/>
      <c r="D27" s="9"/>
      <c r="E27" s="9"/>
      <c r="F27" s="9"/>
    </row>
    <row r="28" spans="1:6" ht="15">
      <c r="A28" s="9"/>
      <c r="B28" s="10" t="s">
        <v>24</v>
      </c>
      <c r="C28" s="9"/>
      <c r="D28" s="9"/>
      <c r="E28" s="9"/>
      <c r="F28" s="9"/>
    </row>
    <row r="29" spans="1:6" ht="15">
      <c r="A29" s="9"/>
      <c r="B29" s="10" t="s">
        <v>25</v>
      </c>
      <c r="C29" s="9"/>
      <c r="D29" s="9"/>
      <c r="E29" s="9"/>
      <c r="F29" s="9"/>
    </row>
    <row r="30" spans="1:6" ht="15">
      <c r="A30" s="9"/>
      <c r="B30" s="11"/>
      <c r="C30" s="9"/>
      <c r="D30" s="9"/>
      <c r="E30" s="9"/>
      <c r="F30" s="9"/>
    </row>
    <row r="31" spans="1:6">
      <c r="A31" s="9"/>
      <c r="B31" s="9"/>
      <c r="C31" s="9"/>
      <c r="D31" s="9"/>
      <c r="E31" s="9"/>
      <c r="F31" s="9"/>
    </row>
    <row r="32" spans="1:6">
      <c r="A32" s="9"/>
      <c r="B32" s="9"/>
      <c r="C32" s="9"/>
      <c r="D32" s="9"/>
      <c r="E32" s="9"/>
      <c r="F32" s="9"/>
    </row>
  </sheetData>
  <mergeCells count="3">
    <mergeCell ref="A1:F1"/>
    <mergeCell ref="A17:E17"/>
    <mergeCell ref="A3:A4"/>
  </mergeCells>
  <conditionalFormatting sqref="B16:E16">
    <cfRule type="cellIs" dxfId="2" priority="4" operator="equal">
      <formula>"Lucro Total!"</formula>
    </cfRule>
    <cfRule type="cellIs" dxfId="1" priority="2" operator="equal">
      <formula>"Prejuízo Total!"</formula>
    </cfRule>
    <cfRule type="cellIs" dxfId="0" priority="1" operator="equal">
      <formula>"Lucro Médio"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871EEBF6BE33469F40A072ACC18A3B" ma:contentTypeVersion="1" ma:contentTypeDescription="Crie um novo documento." ma:contentTypeScope="" ma:versionID="260cebe3603b1bd48dcbc60ac0c01e29">
  <xsd:schema xmlns:xsd="http://www.w3.org/2001/XMLSchema" xmlns:xs="http://www.w3.org/2001/XMLSchema" xmlns:p="http://schemas.microsoft.com/office/2006/metadata/properties" xmlns:ns2="69c3eebb-8466-47b5-8cdd-5ce7d3808eae" targetNamespace="http://schemas.microsoft.com/office/2006/metadata/properties" ma:root="true" ma:fieldsID="2f1bdf9beb42ee49b8e54b7cc5a304c5" ns2:_="">
    <xsd:import namespace="69c3eebb-8466-47b5-8cdd-5ce7d3808eae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3eebb-8466-47b5-8cdd-5ce7d3808eae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69c3eebb-8466-47b5-8cdd-5ce7d3808eae" xsi:nil="true"/>
  </documentManagement>
</p:properties>
</file>

<file path=customXml/itemProps1.xml><?xml version="1.0" encoding="utf-8"?>
<ds:datastoreItem xmlns:ds="http://schemas.openxmlformats.org/officeDocument/2006/customXml" ds:itemID="{D75768B1-C5B3-46F9-A1AF-5CCBE0BDBF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c3eebb-8466-47b5-8cdd-5ce7d3808e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D32038-1B11-44EE-AC5B-47CC25D6F0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F43153-5B4B-4682-9AD1-E3BD0554C101}">
  <ds:schemaRefs>
    <ds:schemaRef ds:uri="http://schemas.microsoft.com/office/2006/metadata/properties"/>
    <ds:schemaRef ds:uri="http://schemas.microsoft.com/office/infopath/2007/PartnerControls"/>
    <ds:schemaRef ds:uri="69c3eebb-8466-47b5-8cdd-5ce7d3808ea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Execício 1</vt:lpstr>
      <vt:lpstr>Exercício 2</vt:lpstr>
      <vt:lpstr>Exercício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ROBERTO MADUREIRA JUNIOR</dc:creator>
  <cp:lastModifiedBy>EtecVAV</cp:lastModifiedBy>
  <dcterms:created xsi:type="dcterms:W3CDTF">2024-03-20T17:38:45Z</dcterms:created>
  <dcterms:modified xsi:type="dcterms:W3CDTF">2026-08-24T10:43:36Z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0x010100B7871EEBF6BE33469F40A072ACC18A3B</vt:lpwstr>
  </property>
</Properties>
</file>